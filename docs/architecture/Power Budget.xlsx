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 (Main)" sheetId="1" r:id="rId5"/>
    <sheet state="visible" name="Power Budget (NEW)" sheetId="2" r:id="rId6"/>
  </sheets>
  <definedNames/>
  <calcPr/>
</workbook>
</file>

<file path=xl/sharedStrings.xml><?xml version="1.0" encoding="utf-8"?>
<sst xmlns="http://schemas.openxmlformats.org/spreadsheetml/2006/main" count="139" uniqueCount="113">
  <si>
    <t>Device</t>
  </si>
  <si>
    <t>Quantity</t>
  </si>
  <si>
    <t>Voltage (V)</t>
  </si>
  <si>
    <t>Current (A)</t>
  </si>
  <si>
    <t>Power (W)</t>
  </si>
  <si>
    <t>Time (s)</t>
  </si>
  <si>
    <t>Energy (Wh)</t>
  </si>
  <si>
    <t>Power Allocation</t>
  </si>
  <si>
    <t>Total energy(Wh)</t>
  </si>
  <si>
    <t>Power with converter eff</t>
  </si>
  <si>
    <t>With efficiency accounted</t>
  </si>
  <si>
    <t>I</t>
  </si>
  <si>
    <t>Unused energy factor</t>
  </si>
  <si>
    <t>Estimated battery energy</t>
  </si>
  <si>
    <t>Servo (Cansat release)</t>
  </si>
  <si>
    <t>assume 2 per deployable</t>
  </si>
  <si>
    <t>2 deployables</t>
  </si>
  <si>
    <t>Wh</t>
  </si>
  <si>
    <t>Servo(Egg drop)</t>
  </si>
  <si>
    <t>Servo(Paraglider) [Active]</t>
  </si>
  <si>
    <t>assume 4</t>
  </si>
  <si>
    <t>Minimum cap</t>
  </si>
  <si>
    <t>3400mAh</t>
  </si>
  <si>
    <t>Servo(Paraglider) [non-active state]</t>
  </si>
  <si>
    <t>mAh</t>
  </si>
  <si>
    <t>Cameras</t>
  </si>
  <si>
    <t>3.3-1</t>
  </si>
  <si>
    <t>2 cams needed</t>
  </si>
  <si>
    <t>IMU</t>
  </si>
  <si>
    <t>3.3-2</t>
  </si>
  <si>
    <t>Temp/air press</t>
  </si>
  <si>
    <t>GPS</t>
  </si>
  <si>
    <t>3.3-4</t>
  </si>
  <si>
    <t>Power of 2S1P li-ion</t>
  </si>
  <si>
    <t>XBEE (transmit)</t>
  </si>
  <si>
    <t>3.3-3</t>
  </si>
  <si>
    <t>XBEE (receive)</t>
  </si>
  <si>
    <t>LED</t>
  </si>
  <si>
    <t>MCU (Teensy)</t>
  </si>
  <si>
    <t xml:space="preserve">Each I/O pin accepts 3~20mA </t>
  </si>
  <si>
    <t>Current/Volt Sensor</t>
  </si>
  <si>
    <t>-</t>
  </si>
  <si>
    <t>Shunt Resistor</t>
  </si>
  <si>
    <t>Converter eff</t>
  </si>
  <si>
    <t>Total current</t>
  </si>
  <si>
    <t>Peak I</t>
  </si>
  <si>
    <t>3.3V:</t>
  </si>
  <si>
    <t>W</t>
  </si>
  <si>
    <t>5V:</t>
  </si>
  <si>
    <t xml:space="preserve">Li-ion batery </t>
  </si>
  <si>
    <t>4 max</t>
  </si>
  <si>
    <t>sensor I</t>
  </si>
  <si>
    <t>2000mAh</t>
  </si>
  <si>
    <t>3.7 nominal/cell</t>
  </si>
  <si>
    <t>Act I</t>
  </si>
  <si>
    <t>1A per P</t>
  </si>
  <si>
    <t>2 min</t>
  </si>
  <si>
    <t>Peak power</t>
  </si>
  <si>
    <t>Power I</t>
  </si>
  <si>
    <t>V</t>
  </si>
  <si>
    <t>Ah</t>
  </si>
  <si>
    <t>A</t>
  </si>
  <si>
    <t>2S</t>
  </si>
  <si>
    <t>3S</t>
  </si>
  <si>
    <t>I2R</t>
  </si>
  <si>
    <t>4S</t>
  </si>
  <si>
    <t>GPS has surge current</t>
  </si>
  <si>
    <t>Surge factor</t>
  </si>
  <si>
    <t>Release stage 1 and 2</t>
  </si>
  <si>
    <t>2.2A</t>
  </si>
  <si>
    <t>Surge power at ON</t>
  </si>
  <si>
    <t xml:space="preserve">Max </t>
  </si>
  <si>
    <t>Para</t>
  </si>
  <si>
    <t>2A</t>
  </si>
  <si>
    <t>Surge current at ON</t>
  </si>
  <si>
    <t>IDLE</t>
  </si>
  <si>
    <t>0.5A</t>
  </si>
  <si>
    <t>Current (mA)</t>
  </si>
  <si>
    <t>Power (mW)</t>
  </si>
  <si>
    <t>Time (h)</t>
  </si>
  <si>
    <t>Energy (mWh)</t>
  </si>
  <si>
    <t>Uncertainty(mWh)</t>
  </si>
  <si>
    <t>Efficency of converter</t>
  </si>
  <si>
    <t>Surge I (mA)</t>
  </si>
  <si>
    <t>S</t>
  </si>
  <si>
    <t>Normal I (mA)</t>
  </si>
  <si>
    <t>time (h)</t>
  </si>
  <si>
    <t>Pwr (mWh)</t>
  </si>
  <si>
    <t>Singnal provided by MCU</t>
  </si>
  <si>
    <t>Beacon</t>
  </si>
  <si>
    <t>NEO-M8N GPS</t>
  </si>
  <si>
    <t>Total pwr</t>
  </si>
  <si>
    <t>SQ11 CAM</t>
  </si>
  <si>
    <t>Assume 1.35A</t>
  </si>
  <si>
    <t>MPU9250 IMU</t>
  </si>
  <si>
    <t>Indicator LED</t>
  </si>
  <si>
    <t>Total energy(mWh)</t>
  </si>
  <si>
    <t>Uncertainty Energy</t>
  </si>
  <si>
    <t>BMP388</t>
  </si>
  <si>
    <t>INA219</t>
  </si>
  <si>
    <t>AS5600</t>
  </si>
  <si>
    <t>Winch servos (idle)</t>
  </si>
  <si>
    <t>Winch servos (Active)</t>
  </si>
  <si>
    <t>Servo Motor</t>
  </si>
  <si>
    <t>Voltage</t>
  </si>
  <si>
    <t>Capacity(mAh)</t>
  </si>
  <si>
    <t>Include uncertainty</t>
  </si>
  <si>
    <t>Safety factor</t>
  </si>
  <si>
    <t>Total Surge I (mA)</t>
  </si>
  <si>
    <t>Total normal I (mA)</t>
  </si>
  <si>
    <t xml:space="preserve">At 6.15A, 1.4mm trace width, and 2oz trace thickness
</t>
  </si>
  <si>
    <t>temp rise of 18.7C</t>
  </si>
  <si>
    <t>Temp rise of 4.3C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</si>
</sst>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4" width="9.25"/>
    <col customWidth="1" min="5" max="5" width="8.88"/>
    <col customWidth="1" min="6" max="6" width="13.63"/>
    <col customWidth="1" min="7" max="7" width="13.5"/>
    <col customWidth="1" min="9" max="10" width="19.75"/>
    <col customWidth="1" min="12" max="12" width="16.88"/>
    <col customWidth="1" min="13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O1" s="1" t="s">
        <v>9</v>
      </c>
    </row>
    <row r="2">
      <c r="J2" s="2">
        <f> SUM(G4:G1005)</f>
        <v>8.40732</v>
      </c>
      <c r="O2" s="2">
        <f>SUM(E5:E19)/B19</f>
        <v>22.04842353</v>
      </c>
    </row>
    <row r="3">
      <c r="J3" s="2">
        <f>J2/B19</f>
        <v>9.890964706</v>
      </c>
      <c r="K3" s="1" t="s">
        <v>10</v>
      </c>
      <c r="O3" s="1" t="s">
        <v>11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L4" s="1" t="s">
        <v>12</v>
      </c>
      <c r="M4" s="1" t="s">
        <v>13</v>
      </c>
      <c r="O4" s="2">
        <f>O2/7.4</f>
        <v>2.979516693</v>
      </c>
    </row>
    <row r="5">
      <c r="A5" s="3" t="s">
        <v>14</v>
      </c>
      <c r="B5" s="3">
        <v>1.0</v>
      </c>
      <c r="C5" s="3">
        <v>5.0</v>
      </c>
      <c r="D5" s="3">
        <v>0.3</v>
      </c>
      <c r="E5" s="4">
        <f t="shared" ref="E5:E18" si="1">C5*D5*B5</f>
        <v>1.5</v>
      </c>
      <c r="F5" s="3">
        <v>10.0</v>
      </c>
      <c r="G5" s="4">
        <f t="shared" ref="G5:G18" si="2">E5 * F5 /3600</f>
        <v>0.004166666667</v>
      </c>
      <c r="I5" s="5">
        <v>45778.0</v>
      </c>
      <c r="J5" s="1" t="s">
        <v>15</v>
      </c>
      <c r="K5" s="1" t="s">
        <v>16</v>
      </c>
      <c r="L5" s="1">
        <v>1.5</v>
      </c>
      <c r="M5" s="2">
        <f>J3*L5</f>
        <v>14.83644706</v>
      </c>
      <c r="N5" s="1" t="s">
        <v>17</v>
      </c>
    </row>
    <row r="6">
      <c r="A6" s="3" t="s">
        <v>18</v>
      </c>
      <c r="B6" s="3">
        <v>1.0</v>
      </c>
      <c r="C6" s="3">
        <v>5.0</v>
      </c>
      <c r="D6" s="4">
        <f> 0.3</f>
        <v>0.3</v>
      </c>
      <c r="E6" s="4">
        <f t="shared" si="1"/>
        <v>1.5</v>
      </c>
      <c r="F6" s="3">
        <v>10.0</v>
      </c>
      <c r="G6" s="4">
        <f t="shared" si="2"/>
        <v>0.004166666667</v>
      </c>
      <c r="I6" s="5">
        <v>45778.0</v>
      </c>
    </row>
    <row r="7">
      <c r="A7" s="3" t="s">
        <v>19</v>
      </c>
      <c r="B7" s="3">
        <v>2.0</v>
      </c>
      <c r="C7" s="3">
        <v>5.0</v>
      </c>
      <c r="D7" s="3">
        <v>1.2</v>
      </c>
      <c r="E7" s="4">
        <f t="shared" si="1"/>
        <v>12</v>
      </c>
      <c r="F7" s="3">
        <v>300.0</v>
      </c>
      <c r="G7" s="4">
        <f t="shared" si="2"/>
        <v>1</v>
      </c>
      <c r="I7" s="5">
        <v>45779.0</v>
      </c>
      <c r="J7" s="1" t="s">
        <v>20</v>
      </c>
      <c r="L7" s="1" t="s">
        <v>21</v>
      </c>
      <c r="M7" s="2">
        <f>M5/7.4 * 1000</f>
        <v>2004.925278</v>
      </c>
      <c r="N7" s="1" t="s">
        <v>22</v>
      </c>
    </row>
    <row r="8">
      <c r="A8" s="3" t="s">
        <v>23</v>
      </c>
      <c r="B8" s="3">
        <v>2.0</v>
      </c>
      <c r="C8" s="3">
        <v>5.0</v>
      </c>
      <c r="D8" s="3">
        <v>0.1</v>
      </c>
      <c r="E8" s="4">
        <f t="shared" si="1"/>
        <v>1</v>
      </c>
      <c r="F8" s="3">
        <v>6900.0</v>
      </c>
      <c r="G8" s="4">
        <f t="shared" si="2"/>
        <v>1.916666667</v>
      </c>
      <c r="I8" s="5"/>
      <c r="J8" s="1"/>
      <c r="M8" s="1" t="s">
        <v>24</v>
      </c>
      <c r="N8" s="1"/>
    </row>
    <row r="9">
      <c r="A9" s="6" t="s">
        <v>25</v>
      </c>
      <c r="B9" s="6">
        <v>2.0</v>
      </c>
      <c r="C9" s="6">
        <v>3.3</v>
      </c>
      <c r="D9" s="6">
        <v>0.2</v>
      </c>
      <c r="E9" s="7">
        <f t="shared" si="1"/>
        <v>1.32</v>
      </c>
      <c r="F9" s="6">
        <f t="shared" ref="F9:F18" si="3">2*3600</f>
        <v>7200</v>
      </c>
      <c r="G9" s="7">
        <f t="shared" si="2"/>
        <v>2.64</v>
      </c>
      <c r="I9" s="1" t="s">
        <v>26</v>
      </c>
      <c r="J9" s="1" t="s">
        <v>27</v>
      </c>
    </row>
    <row r="10">
      <c r="A10" s="6" t="s">
        <v>28</v>
      </c>
      <c r="B10" s="6">
        <v>1.0</v>
      </c>
      <c r="C10" s="6">
        <v>3.3</v>
      </c>
      <c r="D10" s="6">
        <v>0.0037</v>
      </c>
      <c r="E10" s="7">
        <f t="shared" si="1"/>
        <v>0.01221</v>
      </c>
      <c r="F10" s="6">
        <f t="shared" si="3"/>
        <v>7200</v>
      </c>
      <c r="G10" s="7">
        <f t="shared" si="2"/>
        <v>0.02442</v>
      </c>
      <c r="I10" s="1" t="s">
        <v>29</v>
      </c>
      <c r="N10" s="1">
        <v>3.4</v>
      </c>
      <c r="O10" s="1">
        <v>3.7</v>
      </c>
    </row>
    <row r="11">
      <c r="A11" s="6" t="s">
        <v>30</v>
      </c>
      <c r="B11" s="6">
        <v>1.0</v>
      </c>
      <c r="C11" s="6">
        <v>3.3</v>
      </c>
      <c r="D11" s="6">
        <v>0.0105</v>
      </c>
      <c r="E11" s="7">
        <f t="shared" si="1"/>
        <v>0.03465</v>
      </c>
      <c r="F11" s="6">
        <f t="shared" si="3"/>
        <v>7200</v>
      </c>
      <c r="G11" s="7">
        <f t="shared" si="2"/>
        <v>0.0693</v>
      </c>
      <c r="I11" s="1" t="s">
        <v>29</v>
      </c>
      <c r="N11" s="1"/>
      <c r="O11" s="1"/>
    </row>
    <row r="12">
      <c r="A12" s="6" t="s">
        <v>31</v>
      </c>
      <c r="B12" s="6">
        <v>1.0</v>
      </c>
      <c r="C12" s="6">
        <v>3.3</v>
      </c>
      <c r="D12" s="6">
        <v>0.05</v>
      </c>
      <c r="E12" s="7">
        <f t="shared" si="1"/>
        <v>0.165</v>
      </c>
      <c r="F12" s="6">
        <f t="shared" si="3"/>
        <v>7200</v>
      </c>
      <c r="G12" s="7">
        <f t="shared" si="2"/>
        <v>0.33</v>
      </c>
      <c r="I12" s="1" t="s">
        <v>32</v>
      </c>
      <c r="N12" s="2">
        <f> 3.4 * 3.7 * 2</f>
        <v>25.16</v>
      </c>
      <c r="O12" s="1" t="s">
        <v>33</v>
      </c>
    </row>
    <row r="13">
      <c r="A13" s="6" t="s">
        <v>34</v>
      </c>
      <c r="B13" s="6">
        <v>1.0</v>
      </c>
      <c r="C13" s="6">
        <v>3.3</v>
      </c>
      <c r="D13" s="6">
        <v>0.12</v>
      </c>
      <c r="E13" s="7">
        <f t="shared" si="1"/>
        <v>0.396</v>
      </c>
      <c r="F13" s="6">
        <f t="shared" si="3"/>
        <v>7200</v>
      </c>
      <c r="G13" s="7">
        <f t="shared" si="2"/>
        <v>0.792</v>
      </c>
      <c r="I13" s="1" t="s">
        <v>35</v>
      </c>
    </row>
    <row r="14">
      <c r="A14" s="6" t="s">
        <v>36</v>
      </c>
      <c r="B14" s="6">
        <v>1.0</v>
      </c>
      <c r="C14" s="6">
        <v>3.3</v>
      </c>
      <c r="D14" s="6">
        <v>0.031</v>
      </c>
      <c r="E14" s="7">
        <f t="shared" si="1"/>
        <v>0.1023</v>
      </c>
      <c r="F14" s="6">
        <f t="shared" si="3"/>
        <v>7200</v>
      </c>
      <c r="G14" s="7">
        <f t="shared" si="2"/>
        <v>0.2046</v>
      </c>
      <c r="I14" s="1" t="s">
        <v>35</v>
      </c>
    </row>
    <row r="15">
      <c r="A15" s="6" t="s">
        <v>37</v>
      </c>
      <c r="B15" s="6">
        <v>1.0</v>
      </c>
      <c r="C15" s="6">
        <v>3.3</v>
      </c>
      <c r="D15" s="6">
        <v>0.01</v>
      </c>
      <c r="E15" s="7">
        <f t="shared" si="1"/>
        <v>0.033</v>
      </c>
      <c r="F15" s="6">
        <f t="shared" si="3"/>
        <v>7200</v>
      </c>
      <c r="G15" s="7">
        <f t="shared" si="2"/>
        <v>0.066</v>
      </c>
      <c r="I15" s="1" t="s">
        <v>29</v>
      </c>
    </row>
    <row r="16">
      <c r="A16" s="6" t="s">
        <v>38</v>
      </c>
      <c r="B16" s="6">
        <v>1.0</v>
      </c>
      <c r="C16" s="6">
        <v>3.3</v>
      </c>
      <c r="D16" s="6">
        <v>0.11</v>
      </c>
      <c r="E16" s="7">
        <f t="shared" si="1"/>
        <v>0.363</v>
      </c>
      <c r="F16" s="6">
        <f t="shared" si="3"/>
        <v>7200</v>
      </c>
      <c r="G16" s="7">
        <f t="shared" si="2"/>
        <v>0.726</v>
      </c>
      <c r="I16" s="1" t="s">
        <v>29</v>
      </c>
      <c r="J16" s="1" t="s">
        <v>39</v>
      </c>
    </row>
    <row r="17">
      <c r="A17" s="6" t="s">
        <v>40</v>
      </c>
      <c r="B17" s="6">
        <v>1.0</v>
      </c>
      <c r="C17" s="6">
        <v>3.3</v>
      </c>
      <c r="D17" s="6">
        <v>0.05</v>
      </c>
      <c r="E17" s="7">
        <f t="shared" si="1"/>
        <v>0.165</v>
      </c>
      <c r="F17" s="6">
        <f t="shared" si="3"/>
        <v>7200</v>
      </c>
      <c r="G17" s="7">
        <f t="shared" si="2"/>
        <v>0.33</v>
      </c>
      <c r="I17" s="1" t="s">
        <v>41</v>
      </c>
    </row>
    <row r="18">
      <c r="A18" s="1" t="s">
        <v>42</v>
      </c>
      <c r="B18" s="1">
        <v>1.0</v>
      </c>
      <c r="C18" s="1">
        <v>0.05</v>
      </c>
      <c r="D18" s="1">
        <v>3.0</v>
      </c>
      <c r="E18" s="2">
        <f t="shared" si="1"/>
        <v>0.15</v>
      </c>
      <c r="F18" s="1">
        <f t="shared" si="3"/>
        <v>7200</v>
      </c>
      <c r="G18" s="2">
        <f t="shared" si="2"/>
        <v>0.3</v>
      </c>
      <c r="I18" s="1" t="s">
        <v>41</v>
      </c>
    </row>
    <row r="19">
      <c r="A19" s="1" t="s">
        <v>43</v>
      </c>
      <c r="B19" s="1">
        <v>0.85</v>
      </c>
    </row>
    <row r="20">
      <c r="H20" s="1" t="s">
        <v>44</v>
      </c>
      <c r="J20" s="2">
        <f>J3/7.4</f>
        <v>1.336616852</v>
      </c>
    </row>
    <row r="21">
      <c r="B21" s="1"/>
      <c r="C21" s="1" t="s">
        <v>45</v>
      </c>
      <c r="D21" s="2">
        <f>SUM(D4:D16)</f>
        <v>2.4352</v>
      </c>
      <c r="H21" s="1" t="s">
        <v>46</v>
      </c>
      <c r="J21" s="2">
        <f>SUM(E9:E17)</f>
        <v>2.59116</v>
      </c>
      <c r="K21" s="1" t="s">
        <v>47</v>
      </c>
    </row>
    <row r="22">
      <c r="H22" s="1" t="s">
        <v>48</v>
      </c>
      <c r="J22" s="2">
        <f>sum(E5:E7)</f>
        <v>15</v>
      </c>
      <c r="K22" s="1" t="s">
        <v>47</v>
      </c>
      <c r="M22" s="1" t="s">
        <v>49</v>
      </c>
      <c r="N22" s="1" t="s">
        <v>50</v>
      </c>
    </row>
    <row r="23">
      <c r="B23" s="1"/>
      <c r="C23" s="1" t="s">
        <v>51</v>
      </c>
      <c r="L23" s="1" t="s">
        <v>52</v>
      </c>
      <c r="N23" s="1" t="s">
        <v>53</v>
      </c>
    </row>
    <row r="24">
      <c r="B24" s="1"/>
      <c r="C24" s="1" t="s">
        <v>54</v>
      </c>
      <c r="D24" s="2">
        <f>D5+D6+D7</f>
        <v>1.8</v>
      </c>
      <c r="L24" s="1" t="s">
        <v>55</v>
      </c>
      <c r="N24" s="1" t="s">
        <v>56</v>
      </c>
    </row>
    <row r="25">
      <c r="A25" s="1" t="s">
        <v>57</v>
      </c>
      <c r="B25" s="2">
        <f>sum(E5:E18)/B19</f>
        <v>22.04842353</v>
      </c>
      <c r="C25" s="1" t="s">
        <v>58</v>
      </c>
      <c r="D25" s="2" t="str">
        <f>D4</f>
        <v>Current (A)</v>
      </c>
      <c r="N25" s="1" t="s">
        <v>59</v>
      </c>
      <c r="O25" s="1" t="s">
        <v>60</v>
      </c>
      <c r="P25" s="1" t="s">
        <v>61</v>
      </c>
    </row>
    <row r="26">
      <c r="B26" s="2">
        <f>B25/7.2</f>
        <v>3.062281046</v>
      </c>
      <c r="E26" s="2">
        <f>sum(E4:E16) * 1</f>
        <v>18.42616</v>
      </c>
      <c r="I26" s="2">
        <f>sum(E5:E18)</f>
        <v>18.74116</v>
      </c>
      <c r="J26" s="2">
        <f>J3/7.4</f>
        <v>1.336616852</v>
      </c>
      <c r="M26" s="1" t="s">
        <v>62</v>
      </c>
      <c r="N26" s="1">
        <v>7.4</v>
      </c>
      <c r="O26" s="2">
        <f>M5/N26</f>
        <v>2.004925278</v>
      </c>
      <c r="P26" s="2">
        <f t="shared" ref="P26:P28" si="4">O26/2</f>
        <v>1.002462639</v>
      </c>
    </row>
    <row r="27">
      <c r="I27" s="2">
        <f>I26/0.85</f>
        <v>22.04842353</v>
      </c>
      <c r="M27" s="1" t="s">
        <v>63</v>
      </c>
      <c r="N27" s="1">
        <v>11.1</v>
      </c>
      <c r="O27" s="2">
        <f>M5/N27</f>
        <v>1.336616852</v>
      </c>
      <c r="P27" s="2">
        <f t="shared" si="4"/>
        <v>0.6683084261</v>
      </c>
    </row>
    <row r="28">
      <c r="D28" s="1" t="s">
        <v>11</v>
      </c>
      <c r="E28" s="2">
        <f>E26/3.6</f>
        <v>5.118377778</v>
      </c>
      <c r="F28" s="1" t="s">
        <v>64</v>
      </c>
      <c r="M28" s="1" t="s">
        <v>65</v>
      </c>
      <c r="N28" s="2">
        <f>3.7 * 4</f>
        <v>14.8</v>
      </c>
      <c r="O28" s="2">
        <f>M5/N28</f>
        <v>1.002462639</v>
      </c>
      <c r="P28" s="2">
        <f t="shared" si="4"/>
        <v>0.5012313196</v>
      </c>
    </row>
    <row r="30">
      <c r="A30" s="1" t="s">
        <v>66</v>
      </c>
    </row>
    <row r="32">
      <c r="A32" s="1" t="s">
        <v>67</v>
      </c>
      <c r="B32" s="1">
        <v>1.5</v>
      </c>
      <c r="I32" s="1" t="s">
        <v>68</v>
      </c>
      <c r="J32" s="1">
        <v>16.1</v>
      </c>
      <c r="K32" s="1" t="s">
        <v>47</v>
      </c>
      <c r="L32" s="1" t="s">
        <v>69</v>
      </c>
    </row>
    <row r="33">
      <c r="A33" s="1" t="s">
        <v>70</v>
      </c>
      <c r="B33" s="2">
        <f>sum(E9:E18)/B19*B32</f>
        <v>4.837341176</v>
      </c>
      <c r="D33" s="1" t="s">
        <v>71</v>
      </c>
      <c r="I33" s="1" t="s">
        <v>72</v>
      </c>
      <c r="J33" s="1">
        <v>14.6</v>
      </c>
      <c r="K33" s="1" t="s">
        <v>47</v>
      </c>
      <c r="L33" s="1" t="s">
        <v>73</v>
      </c>
    </row>
    <row r="34">
      <c r="A34" s="1" t="s">
        <v>74</v>
      </c>
      <c r="B34" s="2">
        <f>B33/7.2</f>
        <v>0.6718529412</v>
      </c>
      <c r="I34" s="1" t="s">
        <v>75</v>
      </c>
      <c r="J34" s="1">
        <v>3.6</v>
      </c>
      <c r="K34" s="1" t="s">
        <v>47</v>
      </c>
      <c r="L34" s="1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14.38"/>
    <col customWidth="1" min="10" max="10" width="15.0"/>
    <col customWidth="1" min="11" max="11" width="19.88"/>
    <col customWidth="1" min="12" max="12" width="15.0"/>
  </cols>
  <sheetData>
    <row r="1">
      <c r="A1" s="1" t="s">
        <v>0</v>
      </c>
      <c r="B1" s="1" t="s">
        <v>1</v>
      </c>
      <c r="C1" s="1" t="s">
        <v>2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J1" s="1" t="s">
        <v>82</v>
      </c>
      <c r="K1" s="1">
        <v>0.85</v>
      </c>
      <c r="N1" s="1" t="s">
        <v>83</v>
      </c>
      <c r="O1" s="1" t="s">
        <v>84</v>
      </c>
      <c r="P1" s="1" t="s">
        <v>85</v>
      </c>
      <c r="Q1" s="1" t="s">
        <v>84</v>
      </c>
      <c r="T1" s="1" t="s">
        <v>77</v>
      </c>
      <c r="U1" s="1" t="s">
        <v>59</v>
      </c>
      <c r="V1" s="1" t="s">
        <v>86</v>
      </c>
      <c r="W1" s="1" t="s">
        <v>87</v>
      </c>
    </row>
    <row r="2">
      <c r="A2" s="1" t="s">
        <v>38</v>
      </c>
      <c r="B2" s="1">
        <v>1.0</v>
      </c>
      <c r="C2" s="1">
        <v>3.3</v>
      </c>
      <c r="D2" s="1">
        <v>100.0</v>
      </c>
      <c r="E2" s="1">
        <f t="shared" ref="E2:E14" si="1">C2*D2</f>
        <v>330</v>
      </c>
      <c r="F2" s="1">
        <v>2.0</v>
      </c>
      <c r="G2" s="2">
        <f t="shared" ref="G2:G14" si="2">B2*E2*F2</f>
        <v>660</v>
      </c>
      <c r="H2" s="1">
        <v>50.0</v>
      </c>
      <c r="K2" s="1" t="s">
        <v>88</v>
      </c>
      <c r="N2" s="2">
        <f>D2</f>
        <v>100</v>
      </c>
      <c r="O2" s="2">
        <f t="shared" ref="O2:O8" si="3">N2*B2</f>
        <v>100</v>
      </c>
      <c r="P2" s="2">
        <f t="shared" ref="P2:P10" si="4">D2</f>
        <v>100</v>
      </c>
      <c r="Q2" s="2">
        <f t="shared" ref="Q2:Q8" si="5">P2*B2</f>
        <v>100</v>
      </c>
      <c r="S2" s="1" t="s">
        <v>89</v>
      </c>
      <c r="T2" s="1">
        <v>30.0</v>
      </c>
      <c r="U2" s="1">
        <v>3.0</v>
      </c>
      <c r="V2" s="1">
        <v>2.0</v>
      </c>
      <c r="W2" s="2">
        <f>T2*U2*V2</f>
        <v>180</v>
      </c>
    </row>
    <row r="3">
      <c r="A3" s="1" t="s">
        <v>90</v>
      </c>
      <c r="B3" s="1">
        <v>1.0</v>
      </c>
      <c r="C3" s="1">
        <v>3.3</v>
      </c>
      <c r="D3" s="1">
        <v>100.0</v>
      </c>
      <c r="E3" s="1">
        <f t="shared" si="1"/>
        <v>330</v>
      </c>
      <c r="F3" s="1">
        <v>2.0</v>
      </c>
      <c r="G3" s="2">
        <f t="shared" si="2"/>
        <v>660</v>
      </c>
      <c r="H3" s="1">
        <v>50.0</v>
      </c>
      <c r="J3" s="1" t="s">
        <v>91</v>
      </c>
      <c r="K3" s="2">
        <f>sum(E2:E1001)/K1</f>
        <v>5338.970588</v>
      </c>
      <c r="N3" s="1">
        <v>100.0</v>
      </c>
      <c r="O3" s="2">
        <f t="shared" si="3"/>
        <v>100</v>
      </c>
      <c r="P3" s="2">
        <f t="shared" si="4"/>
        <v>100</v>
      </c>
      <c r="Q3" s="2">
        <f t="shared" si="5"/>
        <v>100</v>
      </c>
    </row>
    <row r="4">
      <c r="A4" s="1" t="s">
        <v>92</v>
      </c>
      <c r="B4" s="1">
        <v>2.0</v>
      </c>
      <c r="C4" s="1">
        <v>3.3</v>
      </c>
      <c r="D4" s="1">
        <v>100.0</v>
      </c>
      <c r="E4" s="1">
        <f t="shared" si="1"/>
        <v>330</v>
      </c>
      <c r="F4" s="1">
        <v>2.0</v>
      </c>
      <c r="G4" s="2">
        <f t="shared" si="2"/>
        <v>1320</v>
      </c>
      <c r="H4" s="1">
        <v>300.0</v>
      </c>
      <c r="K4" s="2">
        <f>K3/7.4</f>
        <v>721.4825119</v>
      </c>
      <c r="L4" s="1" t="s">
        <v>93</v>
      </c>
      <c r="N4" s="2">
        <f t="shared" ref="N4:N8" si="6">D4</f>
        <v>100</v>
      </c>
      <c r="O4" s="2">
        <f t="shared" si="3"/>
        <v>200</v>
      </c>
      <c r="P4" s="2">
        <f t="shared" si="4"/>
        <v>100</v>
      </c>
      <c r="Q4" s="2">
        <f t="shared" si="5"/>
        <v>200</v>
      </c>
    </row>
    <row r="5">
      <c r="A5" s="1" t="s">
        <v>94</v>
      </c>
      <c r="B5" s="1">
        <v>1.0</v>
      </c>
      <c r="C5" s="1">
        <v>3.3</v>
      </c>
      <c r="D5" s="1">
        <v>3.7</v>
      </c>
      <c r="E5" s="1">
        <f t="shared" si="1"/>
        <v>12.21</v>
      </c>
      <c r="F5" s="1">
        <v>2.0</v>
      </c>
      <c r="G5" s="2">
        <f t="shared" si="2"/>
        <v>24.42</v>
      </c>
      <c r="H5" s="1">
        <v>5.0</v>
      </c>
      <c r="N5" s="2">
        <f t="shared" si="6"/>
        <v>3.7</v>
      </c>
      <c r="O5" s="2">
        <f t="shared" si="3"/>
        <v>3.7</v>
      </c>
      <c r="P5" s="2">
        <f t="shared" si="4"/>
        <v>3.7</v>
      </c>
      <c r="Q5" s="2">
        <f t="shared" si="5"/>
        <v>3.7</v>
      </c>
    </row>
    <row r="6">
      <c r="A6" s="1" t="s">
        <v>95</v>
      </c>
      <c r="B6" s="1">
        <v>1.0</v>
      </c>
      <c r="C6" s="1">
        <v>3.3</v>
      </c>
      <c r="D6" s="1">
        <v>10.0</v>
      </c>
      <c r="E6" s="1">
        <f t="shared" si="1"/>
        <v>33</v>
      </c>
      <c r="F6" s="1">
        <v>2.0</v>
      </c>
      <c r="G6" s="2">
        <f t="shared" si="2"/>
        <v>66</v>
      </c>
      <c r="H6" s="1">
        <v>1.0</v>
      </c>
      <c r="J6" s="1" t="s">
        <v>96</v>
      </c>
      <c r="K6" s="1" t="s">
        <v>97</v>
      </c>
      <c r="N6" s="2">
        <f t="shared" si="6"/>
        <v>10</v>
      </c>
      <c r="O6" s="2">
        <f t="shared" si="3"/>
        <v>10</v>
      </c>
      <c r="P6" s="2">
        <f t="shared" si="4"/>
        <v>10</v>
      </c>
      <c r="Q6" s="2">
        <f t="shared" si="5"/>
        <v>10</v>
      </c>
    </row>
    <row r="7">
      <c r="A7" s="1" t="s">
        <v>98</v>
      </c>
      <c r="B7" s="1">
        <v>1.0</v>
      </c>
      <c r="C7" s="1">
        <v>3.3</v>
      </c>
      <c r="D7" s="1">
        <v>0.05</v>
      </c>
      <c r="E7" s="1">
        <f t="shared" si="1"/>
        <v>0.165</v>
      </c>
      <c r="F7" s="1">
        <v>2.0</v>
      </c>
      <c r="G7" s="2">
        <f t="shared" si="2"/>
        <v>0.33</v>
      </c>
      <c r="H7" s="1">
        <v>0.1</v>
      </c>
      <c r="J7" s="2">
        <f> SUM(G2:G1001)/K1</f>
        <v>5807.470588</v>
      </c>
      <c r="K7" s="2">
        <f>sum(H2:H1001)/K1</f>
        <v>1008.470588</v>
      </c>
      <c r="N7" s="2">
        <f t="shared" si="6"/>
        <v>0.05</v>
      </c>
      <c r="O7" s="2">
        <f t="shared" si="3"/>
        <v>0.05</v>
      </c>
      <c r="P7" s="2">
        <f t="shared" si="4"/>
        <v>0.05</v>
      </c>
      <c r="Q7" s="2">
        <f t="shared" si="5"/>
        <v>0.05</v>
      </c>
    </row>
    <row r="8">
      <c r="A8" s="1" t="s">
        <v>99</v>
      </c>
      <c r="B8" s="1">
        <v>1.0</v>
      </c>
      <c r="C8" s="1">
        <v>3.3</v>
      </c>
      <c r="D8" s="1">
        <v>10.0</v>
      </c>
      <c r="E8" s="1">
        <f t="shared" si="1"/>
        <v>33</v>
      </c>
      <c r="F8" s="1">
        <v>2.0</v>
      </c>
      <c r="G8" s="2">
        <f t="shared" si="2"/>
        <v>66</v>
      </c>
      <c r="H8" s="1">
        <v>0.1</v>
      </c>
      <c r="N8" s="2">
        <f t="shared" si="6"/>
        <v>10</v>
      </c>
      <c r="O8" s="2">
        <f t="shared" si="3"/>
        <v>10</v>
      </c>
      <c r="P8" s="2">
        <f t="shared" si="4"/>
        <v>10</v>
      </c>
      <c r="Q8" s="2">
        <f t="shared" si="5"/>
        <v>10</v>
      </c>
    </row>
    <row r="9">
      <c r="A9" s="1" t="s">
        <v>100</v>
      </c>
      <c r="B9" s="1">
        <v>2.0</v>
      </c>
      <c r="C9" s="1">
        <v>3.3</v>
      </c>
      <c r="D9" s="1">
        <v>6.5</v>
      </c>
      <c r="E9" s="1">
        <f t="shared" si="1"/>
        <v>21.45</v>
      </c>
      <c r="F9" s="1">
        <v>2.0</v>
      </c>
      <c r="G9" s="2">
        <f t="shared" si="2"/>
        <v>85.8</v>
      </c>
      <c r="H9" s="1">
        <v>10.0</v>
      </c>
      <c r="K9" s="2">
        <f>sum(H2:H8) + H13+H14</f>
        <v>446.2</v>
      </c>
      <c r="L9" s="2">
        <f>J7/K1</f>
        <v>6832.318339</v>
      </c>
      <c r="P9" s="2">
        <f t="shared" si="4"/>
        <v>6.5</v>
      </c>
    </row>
    <row r="10">
      <c r="A10" s="1" t="s">
        <v>101</v>
      </c>
      <c r="B10" s="1">
        <v>2.0</v>
      </c>
      <c r="C10" s="1">
        <v>5.0</v>
      </c>
      <c r="D10" s="1">
        <v>50.0</v>
      </c>
      <c r="E10" s="1">
        <f t="shared" si="1"/>
        <v>250</v>
      </c>
      <c r="F10" s="1">
        <v>1.9</v>
      </c>
      <c r="G10" s="2">
        <f t="shared" si="2"/>
        <v>950</v>
      </c>
      <c r="H10" s="1">
        <v>200.0</v>
      </c>
      <c r="K10" s="2">
        <f>H10+H11+H12</f>
        <v>401</v>
      </c>
      <c r="L10" s="2">
        <f>K7/K1</f>
        <v>1186.435986</v>
      </c>
      <c r="N10" s="1">
        <v>200.0</v>
      </c>
      <c r="O10" s="2">
        <f t="shared" ref="O10:O14" si="7">N10*B10</f>
        <v>400</v>
      </c>
      <c r="P10" s="2">
        <f t="shared" si="4"/>
        <v>50</v>
      </c>
      <c r="Q10" s="2">
        <f t="shared" ref="Q10:Q14" si="8">P10*B10</f>
        <v>100</v>
      </c>
    </row>
    <row r="11">
      <c r="A11" s="1" t="s">
        <v>102</v>
      </c>
      <c r="B11" s="1">
        <v>2.0</v>
      </c>
      <c r="C11" s="1">
        <v>5.0</v>
      </c>
      <c r="D11" s="1">
        <v>500.0</v>
      </c>
      <c r="E11" s="1">
        <f t="shared" si="1"/>
        <v>2500</v>
      </c>
      <c r="F11" s="1">
        <f>6/60</f>
        <v>0.1</v>
      </c>
      <c r="G11" s="2">
        <f t="shared" si="2"/>
        <v>500</v>
      </c>
      <c r="H11" s="1">
        <v>200.0</v>
      </c>
      <c r="N11" s="1">
        <v>2500.0</v>
      </c>
      <c r="O11" s="2">
        <f t="shared" si="7"/>
        <v>5000</v>
      </c>
      <c r="P11" s="1">
        <v>500.0</v>
      </c>
      <c r="Q11" s="2">
        <f t="shared" si="8"/>
        <v>1000</v>
      </c>
    </row>
    <row r="12">
      <c r="A12" s="1" t="s">
        <v>103</v>
      </c>
      <c r="B12" s="1">
        <v>2.0</v>
      </c>
      <c r="C12" s="1">
        <v>5.0</v>
      </c>
      <c r="D12" s="1">
        <v>40.0</v>
      </c>
      <c r="E12" s="1">
        <f t="shared" si="1"/>
        <v>200</v>
      </c>
      <c r="F12" s="1">
        <v>0.008</v>
      </c>
      <c r="G12" s="2">
        <f t="shared" si="2"/>
        <v>3.2</v>
      </c>
      <c r="H12" s="1">
        <v>1.0</v>
      </c>
      <c r="N12" s="1">
        <v>100.0</v>
      </c>
      <c r="O12" s="2">
        <f t="shared" si="7"/>
        <v>200</v>
      </c>
      <c r="P12" s="2">
        <f t="shared" ref="P12:P14" si="9">D12</f>
        <v>40</v>
      </c>
      <c r="Q12" s="2">
        <f t="shared" si="8"/>
        <v>80</v>
      </c>
    </row>
    <row r="13">
      <c r="A13" s="1" t="s">
        <v>34</v>
      </c>
      <c r="B13" s="1">
        <v>1.0</v>
      </c>
      <c r="C13" s="1">
        <v>3.3</v>
      </c>
      <c r="D13" s="1">
        <v>120.0</v>
      </c>
      <c r="E13" s="1">
        <f t="shared" si="1"/>
        <v>396</v>
      </c>
      <c r="F13" s="1">
        <v>1.0</v>
      </c>
      <c r="G13" s="2">
        <f t="shared" si="2"/>
        <v>396</v>
      </c>
      <c r="H13" s="1">
        <v>20.0</v>
      </c>
      <c r="N13" s="1">
        <v>250.0</v>
      </c>
      <c r="O13" s="2">
        <f t="shared" si="7"/>
        <v>250</v>
      </c>
      <c r="P13" s="2">
        <f t="shared" si="9"/>
        <v>120</v>
      </c>
      <c r="Q13" s="2">
        <f t="shared" si="8"/>
        <v>120</v>
      </c>
    </row>
    <row r="14">
      <c r="A14" s="1" t="s">
        <v>36</v>
      </c>
      <c r="B14" s="1">
        <v>1.0</v>
      </c>
      <c r="C14" s="1">
        <v>3.3</v>
      </c>
      <c r="D14" s="1">
        <v>31.0</v>
      </c>
      <c r="E14" s="1">
        <f t="shared" si="1"/>
        <v>102.3</v>
      </c>
      <c r="F14" s="1">
        <v>2.0</v>
      </c>
      <c r="G14" s="2">
        <f t="shared" si="2"/>
        <v>204.6</v>
      </c>
      <c r="H14" s="1">
        <v>20.0</v>
      </c>
      <c r="J14" s="1" t="s">
        <v>104</v>
      </c>
      <c r="K14" s="1" t="s">
        <v>105</v>
      </c>
      <c r="L14" s="1" t="s">
        <v>106</v>
      </c>
      <c r="N14" s="1">
        <v>60.0</v>
      </c>
      <c r="O14" s="2">
        <f t="shared" si="7"/>
        <v>60</v>
      </c>
      <c r="P14" s="2">
        <f t="shared" si="9"/>
        <v>31</v>
      </c>
      <c r="Q14" s="2">
        <f t="shared" si="8"/>
        <v>31</v>
      </c>
    </row>
    <row r="15">
      <c r="J15" s="1">
        <v>7.4</v>
      </c>
      <c r="K15" s="2">
        <f>J7/J15</f>
        <v>784.7933227</v>
      </c>
      <c r="L15" s="2">
        <f>(J7+K7)/J15</f>
        <v>921.073132</v>
      </c>
    </row>
    <row r="16">
      <c r="I16" s="1" t="s">
        <v>107</v>
      </c>
      <c r="J16" s="1">
        <v>2.0</v>
      </c>
      <c r="K16" s="2">
        <f>K15*J16</f>
        <v>1569.586645</v>
      </c>
      <c r="L16" s="2">
        <f>L15*J16</f>
        <v>1842.146264</v>
      </c>
    </row>
    <row r="20">
      <c r="K20" s="1" t="s">
        <v>108</v>
      </c>
      <c r="L20" s="1" t="s">
        <v>109</v>
      </c>
    </row>
    <row r="21">
      <c r="K21" s="2">
        <f>sum(O2:O1001)/K1</f>
        <v>7451.470588</v>
      </c>
      <c r="L21" s="2">
        <f>sum(E2:E1001)/J15/K1</f>
        <v>721.4825119</v>
      </c>
    </row>
    <row r="25" ht="14.25" customHeight="1">
      <c r="H25" s="1" t="s">
        <v>110</v>
      </c>
      <c r="K25" s="1" t="s">
        <v>111</v>
      </c>
      <c r="L25" s="1" t="s">
        <v>112</v>
      </c>
    </row>
  </sheetData>
  <mergeCells count="1">
    <mergeCell ref="H25:J25"/>
  </mergeCells>
  <drawing r:id="rId1"/>
</worksheet>
</file>